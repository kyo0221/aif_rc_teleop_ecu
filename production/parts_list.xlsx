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LC実装部品" sheetId="1" state="visible" r:id="rId1"/>
    <sheet name="手はんだ部品_購入リスト" sheetId="2" state="visible" r:id="rId2"/>
    <sheet name="要確認事項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1F4E78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0" borderId="0" pivotButton="0" quotePrefix="0" xfId="0"/>
    <xf numFmtId="0" fontId="0" fillId="2" borderId="1" pivotButton="0" quotePrefix="0" xfId="0"/>
    <xf numFmtId="0" fontId="2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164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6" customWidth="1" min="2" max="2"/>
    <col width="16" customWidth="1" min="3" max="3"/>
    <col width="12" customWidth="1" min="4" max="4"/>
    <col width="11" customWidth="1" min="5" max="5"/>
    <col width="22" customWidth="1" min="6" max="6"/>
    <col width="10" customWidth="1" min="7" max="7"/>
    <col width="9" customWidth="1" min="8" max="8"/>
    <col width="8" customWidth="1" min="9" max="9"/>
    <col width="10" customWidth="1" min="10" max="10"/>
    <col width="10" customWidth="1" min="11" max="11"/>
    <col width="18" customWidth="1" min="12" max="12"/>
    <col width="48" customWidth="1" min="13" max="13"/>
  </cols>
  <sheetData>
    <row r="1">
      <c r="A1" s="1" t="inlineStr">
        <is>
          <t>製作枚数</t>
        </is>
      </c>
      <c r="B1" s="2" t="n">
        <v>5</v>
      </c>
      <c r="C1" t="inlineStr">
        <is>
          <t>← 黄色セルを変えると数量・小計が再計算されます（Economic PCBA で実装する表面実装部品）</t>
        </is>
      </c>
    </row>
    <row r="3">
      <c r="A3" s="3" t="inlineStr">
        <is>
          <t>No</t>
        </is>
      </c>
      <c r="B3" s="3" t="inlineStr">
        <is>
          <t>Ref</t>
        </is>
      </c>
      <c r="C3" s="3" t="inlineStr">
        <is>
          <t>値</t>
        </is>
      </c>
      <c r="D3" s="3" t="inlineStr">
        <is>
          <t>パッケージ</t>
        </is>
      </c>
      <c r="E3" s="3" t="inlineStr">
        <is>
          <t>LCSC番号</t>
        </is>
      </c>
      <c r="F3" s="3" t="inlineStr">
        <is>
          <t>メーカー型番</t>
        </is>
      </c>
      <c r="G3" s="3" t="inlineStr">
        <is>
          <t>区分</t>
        </is>
      </c>
      <c r="H3" s="3" t="inlineStr">
        <is>
          <t>1枚あたり数量</t>
        </is>
      </c>
      <c r="I3" s="3" t="inlineStr">
        <is>
          <t>必要数</t>
        </is>
      </c>
      <c r="J3" s="3" t="inlineStr">
        <is>
          <t>単価(USD)</t>
        </is>
      </c>
      <c r="K3" s="3" t="inlineStr">
        <is>
          <t>小計(USD)</t>
        </is>
      </c>
      <c r="L3" s="3" t="inlineStr">
        <is>
          <t>状態</t>
        </is>
      </c>
      <c r="M3" s="3" t="inlineStr">
        <is>
          <t>備考</t>
        </is>
      </c>
    </row>
    <row r="4">
      <c r="A4" s="4" t="n">
        <v>1</v>
      </c>
      <c r="B4" s="4" t="inlineStr">
        <is>
          <t>R3,R4,R5,R6</t>
        </is>
      </c>
      <c r="C4" s="4" t="inlineStr">
        <is>
          <t>1.2kΩ ±1%</t>
        </is>
      </c>
      <c r="D4" s="4" t="inlineStr">
        <is>
          <t>0603</t>
        </is>
      </c>
      <c r="E4" s="4" t="inlineStr">
        <is>
          <t>C22765</t>
        </is>
      </c>
      <c r="F4" s="4" t="inlineStr">
        <is>
          <t>0603WAF1201T5E</t>
        </is>
      </c>
      <c r="G4" s="4" t="inlineStr">
        <is>
          <t>Basic</t>
        </is>
      </c>
      <c r="H4" s="4" t="n">
        <v>4</v>
      </c>
      <c r="I4" s="4">
        <f>H4*$B$1</f>
        <v/>
      </c>
      <c r="J4" s="5" t="n">
        <v>0.0015</v>
      </c>
      <c r="K4" s="6">
        <f>I4*J4</f>
        <v/>
      </c>
      <c r="L4" s="4" t="inlineStr">
        <is>
          <t>新規</t>
        </is>
      </c>
      <c r="M4" s="4" t="inlineStr">
        <is>
          <t>LED電流制限</t>
        </is>
      </c>
    </row>
    <row r="5">
      <c r="A5" s="4" t="n">
        <v>2</v>
      </c>
      <c r="B5" s="4" t="inlineStr">
        <is>
          <t>R2</t>
        </is>
      </c>
      <c r="C5" s="4" t="inlineStr">
        <is>
          <t>3.3kΩ ±1%</t>
        </is>
      </c>
      <c r="D5" s="4" t="inlineStr">
        <is>
          <t>0603</t>
        </is>
      </c>
      <c r="E5" s="4" t="inlineStr">
        <is>
          <t>C22978</t>
        </is>
      </c>
      <c r="F5" s="4" t="inlineStr">
        <is>
          <t>0603WAF3301T5E</t>
        </is>
      </c>
      <c r="G5" s="4" t="inlineStr">
        <is>
          <t>Basic</t>
        </is>
      </c>
      <c r="H5" s="4" t="n">
        <v>1</v>
      </c>
      <c r="I5" s="4">
        <f>H5*$B$1</f>
        <v/>
      </c>
      <c r="J5" s="5" t="n">
        <v>0.0019</v>
      </c>
      <c r="K5" s="6">
        <f>I5*J5</f>
        <v/>
      </c>
      <c r="L5" s="4" t="inlineStr">
        <is>
          <t>新規</t>
        </is>
      </c>
      <c r="M5" s="4" t="inlineStr">
        <is>
          <t>5V表示LED</t>
        </is>
      </c>
    </row>
    <row r="6">
      <c r="A6" s="4" t="n">
        <v>3</v>
      </c>
      <c r="B6" s="4" t="inlineStr">
        <is>
          <t>R1</t>
        </is>
      </c>
      <c r="C6" s="4" t="inlineStr">
        <is>
          <t>120Ω ±1%</t>
        </is>
      </c>
      <c r="D6" s="4" t="inlineStr">
        <is>
          <t>0603</t>
        </is>
      </c>
      <c r="E6" s="4" t="inlineStr">
        <is>
          <t>C22787</t>
        </is>
      </c>
      <c r="F6" s="4" t="inlineStr">
        <is>
          <t>0603WAF1200T5E</t>
        </is>
      </c>
      <c r="G6" s="4" t="inlineStr">
        <is>
          <t>Basic</t>
        </is>
      </c>
      <c r="H6" s="4" t="n">
        <v>1</v>
      </c>
      <c r="I6" s="4">
        <f>H6*$B$1</f>
        <v/>
      </c>
      <c r="J6" s="5" t="n">
        <v>0.0016</v>
      </c>
      <c r="K6" s="6">
        <f>I6*J6</f>
        <v/>
      </c>
      <c r="L6" s="4" t="inlineStr">
        <is>
          <t>新規</t>
        </is>
      </c>
      <c r="M6" s="4" t="inlineStr">
        <is>
          <t>CAN終端</t>
        </is>
      </c>
    </row>
    <row r="7">
      <c r="A7" s="4" t="n">
        <v>4</v>
      </c>
      <c r="B7" s="4" t="inlineStr">
        <is>
          <t>R7</t>
        </is>
      </c>
      <c r="C7" s="4" t="inlineStr">
        <is>
          <t>10kΩ ±1%</t>
        </is>
      </c>
      <c r="D7" s="4" t="inlineStr">
        <is>
          <t>0603</t>
        </is>
      </c>
      <c r="E7" s="4" t="inlineStr">
        <is>
          <t>C25804</t>
        </is>
      </c>
      <c r="F7" s="4" t="inlineStr">
        <is>
          <t>0603WAF1002T5E</t>
        </is>
      </c>
      <c r="G7" s="4" t="inlineStr">
        <is>
          <t>Basic</t>
        </is>
      </c>
      <c r="H7" s="4" t="n">
        <v>1</v>
      </c>
      <c r="I7" s="4">
        <f>H7*$B$1</f>
        <v/>
      </c>
      <c r="J7" s="5" t="n">
        <v>0.0015</v>
      </c>
      <c r="K7" s="6">
        <f>I7*J7</f>
        <v/>
      </c>
      <c r="L7" s="4" t="inlineStr">
        <is>
          <t>新規</t>
        </is>
      </c>
      <c r="M7" s="4" t="inlineStr">
        <is>
          <t>PB8(BOOT0)プルダウン</t>
        </is>
      </c>
    </row>
    <row r="8">
      <c r="A8" s="4" t="n">
        <v>5</v>
      </c>
      <c r="B8" s="4" t="inlineStr">
        <is>
          <t>R14</t>
        </is>
      </c>
      <c r="C8" s="4" t="inlineStr">
        <is>
          <t>4.7kΩ ±1%</t>
        </is>
      </c>
      <c r="D8" s="4" t="inlineStr">
        <is>
          <t>0603</t>
        </is>
      </c>
      <c r="E8" s="4" t="inlineStr">
        <is>
          <t>C23162</t>
        </is>
      </c>
      <c r="F8" s="4" t="inlineStr">
        <is>
          <t>0603WAF4701T5E</t>
        </is>
      </c>
      <c r="G8" s="4" t="inlineStr">
        <is>
          <t>Basic</t>
        </is>
      </c>
      <c r="H8" s="4" t="n">
        <v>1</v>
      </c>
      <c r="I8" s="4">
        <f>H8*$B$1</f>
        <v/>
      </c>
      <c r="J8" s="5" t="n">
        <v>0.0015</v>
      </c>
      <c r="K8" s="6">
        <f>I8*J8</f>
        <v/>
      </c>
      <c r="L8" s="4" t="inlineStr">
        <is>
          <t>既存</t>
        </is>
      </c>
      <c r="M8" s="4" t="inlineStr"/>
    </row>
    <row r="9">
      <c r="A9" s="4" t="n">
        <v>6</v>
      </c>
      <c r="B9" s="4" t="inlineStr">
        <is>
          <t>C2,C6,C9,C10,C11,C12,C14,C22,C23</t>
        </is>
      </c>
      <c r="C9" s="4" t="inlineStr">
        <is>
          <t>100nF 50V X7R</t>
        </is>
      </c>
      <c r="D9" s="4" t="inlineStr">
        <is>
          <t>0603</t>
        </is>
      </c>
      <c r="E9" s="4" t="inlineStr">
        <is>
          <t>C14663</t>
        </is>
      </c>
      <c r="F9" s="4" t="inlineStr">
        <is>
          <t>CC0603KRX7R9BB104</t>
        </is>
      </c>
      <c r="G9" s="4" t="inlineStr">
        <is>
          <t>Basic</t>
        </is>
      </c>
      <c r="H9" s="4" t="n">
        <v>9</v>
      </c>
      <c r="I9" s="4">
        <f>H9*$B$1</f>
        <v/>
      </c>
      <c r="J9" s="5" t="n">
        <v>0.0106</v>
      </c>
      <c r="K9" s="6">
        <f>I9*J9</f>
        <v/>
      </c>
      <c r="L9" s="4" t="inlineStr">
        <is>
          <t>C22,C23既存/他新規</t>
        </is>
      </c>
      <c r="M9" s="4" t="inlineStr">
        <is>
          <t>値表記を「100n」に統一推奨</t>
        </is>
      </c>
    </row>
    <row r="10">
      <c r="A10" s="4" t="n">
        <v>7</v>
      </c>
      <c r="B10" s="4" t="inlineStr">
        <is>
          <t>C4,C5,C8,C15,C20,C26</t>
        </is>
      </c>
      <c r="C10" s="4" t="inlineStr">
        <is>
          <t>1µF 50V X5R</t>
        </is>
      </c>
      <c r="D10" s="4" t="inlineStr">
        <is>
          <t>0603</t>
        </is>
      </c>
      <c r="E10" s="4" t="inlineStr">
        <is>
          <t>C15849</t>
        </is>
      </c>
      <c r="F10" s="4" t="inlineStr">
        <is>
          <t>CL10A105KB8NNNC</t>
        </is>
      </c>
      <c r="G10" s="4" t="inlineStr">
        <is>
          <t>Basic</t>
        </is>
      </c>
      <c r="H10" s="4" t="n">
        <v>6</v>
      </c>
      <c r="I10" s="4">
        <f>H10*$B$1</f>
        <v/>
      </c>
      <c r="J10" s="5" t="n">
        <v>0.0297</v>
      </c>
      <c r="K10" s="6">
        <f>I10*J10</f>
        <v/>
      </c>
      <c r="L10" s="4" t="inlineStr">
        <is>
          <t>C20,C26既存/他新規</t>
        </is>
      </c>
      <c r="M10" s="4" t="inlineStr">
        <is>
          <t>値表記を「1u」に統一推奨</t>
        </is>
      </c>
    </row>
    <row r="11">
      <c r="A11" s="4" t="n">
        <v>8</v>
      </c>
      <c r="B11" s="4" t="inlineStr">
        <is>
          <t>C7,C21,C24</t>
        </is>
      </c>
      <c r="C11" s="4" t="inlineStr">
        <is>
          <t>10nF 50V X7R</t>
        </is>
      </c>
      <c r="D11" s="4" t="inlineStr">
        <is>
          <t>0603</t>
        </is>
      </c>
      <c r="E11" s="4" t="inlineStr">
        <is>
          <t>C57112</t>
        </is>
      </c>
      <c r="F11" s="4" t="inlineStr">
        <is>
          <t>0603B103K500NT</t>
        </is>
      </c>
      <c r="G11" s="4" t="inlineStr">
        <is>
          <t>Basic</t>
        </is>
      </c>
      <c r="H11" s="4" t="n">
        <v>3</v>
      </c>
      <c r="I11" s="4">
        <f>H11*$B$1</f>
        <v/>
      </c>
      <c r="J11" s="5" t="n">
        <v>0.0202</v>
      </c>
      <c r="K11" s="6">
        <f>I11*J11</f>
        <v/>
      </c>
      <c r="L11" s="4" t="inlineStr">
        <is>
          <t>C21,C24既存/C7新規</t>
        </is>
      </c>
      <c r="M11" s="4" t="inlineStr"/>
    </row>
    <row r="12">
      <c r="A12" s="4" t="n">
        <v>9</v>
      </c>
      <c r="B12" s="4" t="inlineStr">
        <is>
          <t>C13</t>
        </is>
      </c>
      <c r="C12" s="4" t="inlineStr">
        <is>
          <t>4.7µF 16V X5R</t>
        </is>
      </c>
      <c r="D12" s="4" t="inlineStr">
        <is>
          <t>0603</t>
        </is>
      </c>
      <c r="E12" s="4" t="inlineStr">
        <is>
          <t>C19666</t>
        </is>
      </c>
      <c r="F12" s="4" t="inlineStr">
        <is>
          <t>CL10A475KO8NNNC</t>
        </is>
      </c>
      <c r="G12" s="4" t="inlineStr">
        <is>
          <t>Basic</t>
        </is>
      </c>
      <c r="H12" s="4" t="n">
        <v>1</v>
      </c>
      <c r="I12" s="4">
        <f>H12*$B$1</f>
        <v/>
      </c>
      <c r="J12" s="5" t="n">
        <v>0.0236</v>
      </c>
      <c r="K12" s="6">
        <f>I12*J12</f>
        <v/>
      </c>
      <c r="L12" s="4" t="inlineStr">
        <is>
          <t>新規</t>
        </is>
      </c>
      <c r="M12" s="4" t="inlineStr"/>
    </row>
    <row r="13">
      <c r="A13" s="4" t="n">
        <v>10</v>
      </c>
      <c r="B13" s="4" t="inlineStr">
        <is>
          <t>C19,C25,C27</t>
        </is>
      </c>
      <c r="C13" s="4" t="inlineStr">
        <is>
          <t>10µF 10V X5R</t>
        </is>
      </c>
      <c r="D13" s="4" t="inlineStr">
        <is>
          <t>0603</t>
        </is>
      </c>
      <c r="E13" s="4" t="inlineStr">
        <is>
          <t>C19702</t>
        </is>
      </c>
      <c r="F13" s="4" t="inlineStr">
        <is>
          <t>CL10A106KP8NNNC</t>
        </is>
      </c>
      <c r="G13" s="4" t="inlineStr">
        <is>
          <t>Basic</t>
        </is>
      </c>
      <c r="H13" s="4" t="n">
        <v>3</v>
      </c>
      <c r="I13" s="4">
        <f>H13*$B$1</f>
        <v/>
      </c>
      <c r="J13" s="5" t="n">
        <v>0.0824</v>
      </c>
      <c r="K13" s="6">
        <f>I13*J13</f>
        <v/>
      </c>
      <c r="L13" s="4" t="inlineStr">
        <is>
          <t>既存</t>
        </is>
      </c>
      <c r="M13" s="4" t="inlineStr"/>
    </row>
    <row r="14">
      <c r="A14" s="4" t="n">
        <v>11</v>
      </c>
      <c r="B14" s="4" t="inlineStr">
        <is>
          <t>C1</t>
        </is>
      </c>
      <c r="C14" s="4" t="inlineStr">
        <is>
          <t>10µF 25V X5R</t>
        </is>
      </c>
      <c r="D14" s="4" t="inlineStr">
        <is>
          <t>0805</t>
        </is>
      </c>
      <c r="E14" s="4" t="inlineStr">
        <is>
          <t>C15850</t>
        </is>
      </c>
      <c r="F14" s="4" t="inlineStr">
        <is>
          <t>CL21A106KAYNNNE</t>
        </is>
      </c>
      <c r="G14" s="4" t="inlineStr">
        <is>
          <t>Basic</t>
        </is>
      </c>
      <c r="H14" s="4" t="n">
        <v>1</v>
      </c>
      <c r="I14" s="4">
        <f>H14*$B$1</f>
        <v/>
      </c>
      <c r="J14" s="5" t="n">
        <v>0.07729999999999999</v>
      </c>
      <c r="K14" s="6">
        <f>I14*J14</f>
        <v/>
      </c>
      <c r="L14" s="4" t="inlineStr">
        <is>
          <t>新規</t>
        </is>
      </c>
      <c r="M14" s="4" t="inlineStr">
        <is>
          <t>+5V入力</t>
        </is>
      </c>
    </row>
    <row r="15">
      <c r="A15" s="4" t="n">
        <v>12</v>
      </c>
      <c r="B15" s="4" t="inlineStr">
        <is>
          <t>L1</t>
        </is>
      </c>
      <c r="C15" s="4" t="inlineStr">
        <is>
          <t>600Ω@100MHz</t>
        </is>
      </c>
      <c r="D15" s="4" t="inlineStr">
        <is>
          <t>0805</t>
        </is>
      </c>
      <c r="E15" s="4" t="inlineStr">
        <is>
          <t>C1017</t>
        </is>
      </c>
      <c r="F15" s="4" t="inlineStr">
        <is>
          <t>GZ2012D601TF</t>
        </is>
      </c>
      <c r="G15" s="4" t="inlineStr">
        <is>
          <t>Basic</t>
        </is>
      </c>
      <c r="H15" s="4" t="n">
        <v>1</v>
      </c>
      <c r="I15" s="4">
        <f>H15*$B$1</f>
        <v/>
      </c>
      <c r="J15" s="5" t="n">
        <v>0.0326</v>
      </c>
      <c r="K15" s="6">
        <f>I15*J15</f>
        <v/>
      </c>
      <c r="L15" s="4" t="inlineStr">
        <is>
          <t>新規</t>
        </is>
      </c>
      <c r="M15" s="4" t="inlineStr">
        <is>
          <t>VDDAフィルタ。R_0805フットプリントで寸法は適合</t>
        </is>
      </c>
    </row>
    <row r="16">
      <c r="A16" s="4" t="n">
        <v>13</v>
      </c>
      <c r="B16" s="4" t="inlineStr">
        <is>
          <t>FB1,FB2,FB3,FB4,FB5</t>
        </is>
      </c>
      <c r="C16" s="4" t="inlineStr">
        <is>
          <t>330Ω@100MHz</t>
        </is>
      </c>
      <c r="D16" s="4" t="inlineStr">
        <is>
          <t>0402</t>
        </is>
      </c>
      <c r="E16" s="4" t="inlineStr">
        <is>
          <t>C596498</t>
        </is>
      </c>
      <c r="F16" s="4" t="inlineStr">
        <is>
          <t>BLM15EX331SN1D</t>
        </is>
      </c>
      <c r="G16" s="4" t="inlineStr">
        <is>
          <t>Extended</t>
        </is>
      </c>
      <c r="H16" s="4" t="n">
        <v>5</v>
      </c>
      <c r="I16" s="4">
        <f>H16*$B$1</f>
        <v/>
      </c>
      <c r="J16" s="5" t="n">
        <v>0.0495</v>
      </c>
      <c r="K16" s="6">
        <f>I16*J16</f>
        <v/>
      </c>
      <c r="L16" s="4" t="inlineStr">
        <is>
          <t>既存</t>
        </is>
      </c>
      <c r="M16" s="4" t="inlineStr"/>
    </row>
    <row r="17">
      <c r="A17" s="4" t="n">
        <v>14</v>
      </c>
      <c r="B17" s="4" t="inlineStr">
        <is>
          <t>D1,D3,D4</t>
        </is>
      </c>
      <c r="C17" s="4" t="inlineStr">
        <is>
          <t>LED 緑</t>
        </is>
      </c>
      <c r="D17" s="4" t="inlineStr">
        <is>
          <t>0805</t>
        </is>
      </c>
      <c r="E17" s="4" t="inlineStr">
        <is>
          <t>C2297</t>
        </is>
      </c>
      <c r="F17" s="4" t="inlineStr">
        <is>
          <t>KT-0805G</t>
        </is>
      </c>
      <c r="G17" s="4" t="inlineStr">
        <is>
          <t>Basic</t>
        </is>
      </c>
      <c r="H17" s="4" t="n">
        <v>3</v>
      </c>
      <c r="I17" s="4">
        <f>H17*$B$1</f>
        <v/>
      </c>
      <c r="J17" s="5" t="n">
        <v>0.0163</v>
      </c>
      <c r="K17" s="6">
        <f>I17*J17</f>
        <v/>
      </c>
      <c r="L17" s="4" t="inlineStr">
        <is>
          <t>新規</t>
        </is>
      </c>
      <c r="M17" s="4" t="inlineStr">
        <is>
          <t>D1=状態 D3=5V D4=3.3V（色は要確認）</t>
        </is>
      </c>
    </row>
    <row r="18">
      <c r="A18" s="4" t="n">
        <v>15</v>
      </c>
      <c r="B18" s="4" t="inlineStr">
        <is>
          <t>D2</t>
        </is>
      </c>
      <c r="C18" s="4" t="inlineStr">
        <is>
          <t>LED 赤</t>
        </is>
      </c>
      <c r="D18" s="4" t="inlineStr">
        <is>
          <t>0805</t>
        </is>
      </c>
      <c r="E18" s="4" t="inlineStr">
        <is>
          <t>C84256</t>
        </is>
      </c>
      <c r="F18" s="4" t="inlineStr">
        <is>
          <t>NCD0805R1</t>
        </is>
      </c>
      <c r="G18" s="4" t="inlineStr">
        <is>
          <t>Basic</t>
        </is>
      </c>
      <c r="H18" s="4" t="n">
        <v>1</v>
      </c>
      <c r="I18" s="4">
        <f>H18*$B$1</f>
        <v/>
      </c>
      <c r="J18" s="5" t="n">
        <v>0.0134</v>
      </c>
      <c r="K18" s="6">
        <f>I18*J18</f>
        <v/>
      </c>
      <c r="L18" s="4" t="inlineStr">
        <is>
          <t>新規</t>
        </is>
      </c>
      <c r="M18" s="4" t="inlineStr">
        <is>
          <t>異常（色は要確認）</t>
        </is>
      </c>
    </row>
    <row r="19">
      <c r="A19" s="4" t="n">
        <v>16</v>
      </c>
      <c r="B19" s="4" t="inlineStr">
        <is>
          <t>D5</t>
        </is>
      </c>
      <c r="C19" s="4" t="inlineStr">
        <is>
          <t>LED 黄</t>
        </is>
      </c>
      <c r="D19" s="4" t="inlineStr">
        <is>
          <t>0805</t>
        </is>
      </c>
      <c r="E19" s="4" t="inlineStr">
        <is>
          <t>C2296</t>
        </is>
      </c>
      <c r="F19" s="4" t="inlineStr">
        <is>
          <t>KT-0805Y</t>
        </is>
      </c>
      <c r="G19" s="4" t="inlineStr">
        <is>
          <t>Basic</t>
        </is>
      </c>
      <c r="H19" s="4" t="n">
        <v>1</v>
      </c>
      <c r="I19" s="4">
        <f>H19*$B$1</f>
        <v/>
      </c>
      <c r="J19" s="5" t="n">
        <v>0.0153</v>
      </c>
      <c r="K19" s="6">
        <f>I19*J19</f>
        <v/>
      </c>
      <c r="L19" s="4" t="inlineStr">
        <is>
          <t>新規</t>
        </is>
      </c>
      <c r="M19" s="4" t="inlineStr">
        <is>
          <t>モード（色は要確認）</t>
        </is>
      </c>
    </row>
    <row r="20">
      <c r="A20" s="4" t="n">
        <v>17</v>
      </c>
      <c r="B20" s="4" t="inlineStr">
        <is>
          <t>U2</t>
        </is>
      </c>
      <c r="C20" s="4" t="inlineStr">
        <is>
          <t>XC6206P332MR</t>
        </is>
      </c>
      <c r="D20" s="4" t="inlineStr">
        <is>
          <t>SOT-23-3</t>
        </is>
      </c>
      <c r="E20" s="4" t="inlineStr">
        <is>
          <t>C5446</t>
        </is>
      </c>
      <c r="F20" s="4" t="inlineStr">
        <is>
          <t>XC6206P332MR-G</t>
        </is>
      </c>
      <c r="G20" s="4" t="inlineStr">
        <is>
          <t>Basic</t>
        </is>
      </c>
      <c r="H20" s="4" t="n">
        <v>1</v>
      </c>
      <c r="I20" s="4">
        <f>H20*$B$1</f>
        <v/>
      </c>
      <c r="J20" s="5" t="n">
        <v>0.1183</v>
      </c>
      <c r="K20" s="6">
        <f>I20*J20</f>
        <v/>
      </c>
      <c r="L20" s="4" t="inlineStr">
        <is>
          <t>新規</t>
        </is>
      </c>
      <c r="M20" s="4" t="inlineStr">
        <is>
          <t>3.3V LDO（入力最大6V）</t>
        </is>
      </c>
    </row>
    <row r="21">
      <c r="A21" s="4" t="n">
        <v>18</v>
      </c>
      <c r="B21" s="4" t="inlineStr">
        <is>
          <t>U1</t>
        </is>
      </c>
      <c r="C21" s="4" t="inlineStr">
        <is>
          <t>STM32G474RET6</t>
        </is>
      </c>
      <c r="D21" s="4" t="inlineStr">
        <is>
          <t>LQFP-64</t>
        </is>
      </c>
      <c r="E21" s="4" t="inlineStr">
        <is>
          <t>C521608</t>
        </is>
      </c>
      <c r="F21" s="4" t="inlineStr">
        <is>
          <t>STM32G474RET6</t>
        </is>
      </c>
      <c r="G21" s="4" t="inlineStr">
        <is>
          <t>Extended</t>
        </is>
      </c>
      <c r="H21" s="4" t="n">
        <v>1</v>
      </c>
      <c r="I21" s="4">
        <f>H21*$B$1</f>
        <v/>
      </c>
      <c r="J21" s="5" t="n">
        <v>8.5997</v>
      </c>
      <c r="K21" s="6">
        <f>I21*J21</f>
        <v/>
      </c>
      <c r="L21" s="4" t="inlineStr">
        <is>
          <t>新規</t>
        </is>
      </c>
      <c r="M21" s="4" t="inlineStr">
        <is>
          <t>JLC在庫 約700個（2026-10-02時点）</t>
        </is>
      </c>
    </row>
    <row r="22">
      <c r="A22" s="4" t="n">
        <v>19</v>
      </c>
      <c r="B22" s="4" t="inlineStr">
        <is>
          <t>SW1</t>
        </is>
      </c>
      <c r="C22" s="4" t="inlineStr">
        <is>
          <t>TS-1187A-B-A-B</t>
        </is>
      </c>
      <c r="D22" s="4" t="inlineStr">
        <is>
          <t>SMD 5.1x5.1</t>
        </is>
      </c>
      <c r="E22" s="4" t="inlineStr">
        <is>
          <t>C318884</t>
        </is>
      </c>
      <c r="F22" s="4" t="inlineStr">
        <is>
          <t>TS-1187A-B-A-B</t>
        </is>
      </c>
      <c r="G22" s="4" t="inlineStr">
        <is>
          <t>Basic</t>
        </is>
      </c>
      <c r="H22" s="4" t="n">
        <v>1</v>
      </c>
      <c r="I22" s="4">
        <f>H22*$B$1</f>
        <v/>
      </c>
      <c r="J22" s="5" t="n">
        <v>0.0197</v>
      </c>
      <c r="K22" s="6">
        <f>I22*J22</f>
        <v/>
      </c>
      <c r="L22" s="4" t="inlineStr">
        <is>
          <t>新規</t>
        </is>
      </c>
      <c r="M22" s="4" t="inlineStr">
        <is>
          <t>リセットSW</t>
        </is>
      </c>
    </row>
    <row r="23">
      <c r="A23" s="7" t="n">
        <v>20</v>
      </c>
      <c r="B23" s="7" t="inlineStr">
        <is>
          <t>IC1</t>
        </is>
      </c>
      <c r="C23" s="7" t="inlineStr">
        <is>
          <t>ISOW1044BDFMR</t>
        </is>
      </c>
      <c r="D23" s="7" t="inlineStr">
        <is>
          <t>SOIC-20W</t>
        </is>
      </c>
      <c r="E23" s="7" t="inlineStr">
        <is>
          <t>C5216545</t>
        </is>
      </c>
      <c r="F23" s="7" t="inlineStr">
        <is>
          <t>ISOW1044BDFMR</t>
        </is>
      </c>
      <c r="G23" s="7" t="inlineStr">
        <is>
          <t>Extended</t>
        </is>
      </c>
      <c r="H23" s="7" t="n">
        <v>1</v>
      </c>
      <c r="I23" s="7">
        <f>H23*$B$1</f>
        <v/>
      </c>
      <c r="J23" s="8" t="n">
        <v>8.335699999999999</v>
      </c>
      <c r="K23" s="9">
        <f>I23*J23</f>
        <v/>
      </c>
      <c r="L23" s="7" t="inlineStr">
        <is>
          <t>★要対応</t>
        </is>
      </c>
      <c r="M23" s="7" t="inlineStr">
        <is>
          <t>LCSC/JLCとも在庫0。既存のC3234830はB無し品(ISOW1044DFMR)でMPNと不一致・こちらも在庫0</t>
        </is>
      </c>
    </row>
    <row r="24">
      <c r="J24" s="1" t="inlineStr">
        <is>
          <t>部品代合計</t>
        </is>
      </c>
      <c r="K24" s="10">
        <f>SUM(K4:K23)</f>
        <v/>
      </c>
    </row>
    <row r="25">
      <c r="J25" t="inlineStr">
        <is>
          <t>拡張部品の品種数</t>
        </is>
      </c>
      <c r="K25">
        <f>COUNTIF(G4:G23,"Extended")</f>
        <v/>
      </c>
    </row>
    <row r="26">
      <c r="J26" t="inlineStr">
        <is>
          <t>拡張部品手数料(目安$3/品種)</t>
        </is>
      </c>
      <c r="K26">
        <f>K25*3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30" customWidth="1" min="2" max="2"/>
    <col width="13" customWidth="1" min="3" max="3"/>
    <col width="11" customWidth="1" min="4" max="4"/>
    <col width="22" customWidth="1" min="5" max="5"/>
    <col width="24" customWidth="1" min="6" max="6"/>
    <col width="9" customWidth="1" min="7" max="7"/>
    <col width="8" customWidth="1" min="8" max="8"/>
    <col width="9" customWidth="1" min="9" max="9"/>
    <col width="8" customWidth="1" min="10" max="10"/>
    <col width="10" customWidth="1" min="11" max="11"/>
    <col width="10" customWidth="1" min="12" max="12"/>
    <col width="18" customWidth="1" min="13" max="13"/>
    <col width="48" customWidth="1" min="14" max="14"/>
  </cols>
  <sheetData>
    <row r="1">
      <c r="A1" s="1" t="inlineStr">
        <is>
          <t>製作枚数</t>
        </is>
      </c>
      <c r="B1">
        <f>JLC実装部品!B1</f>
        <v/>
      </c>
      <c r="C1" t="inlineStr">
        <is>
          <t>JLCPCBの注文時にLCSCで同梱購入する想定（購入数は最小購入数を考慮）</t>
        </is>
      </c>
    </row>
    <row r="3">
      <c r="A3" s="3" t="inlineStr">
        <is>
          <t>No</t>
        </is>
      </c>
      <c r="B3" s="3" t="inlineStr">
        <is>
          <t>品目</t>
        </is>
      </c>
      <c r="C3" s="3" t="inlineStr">
        <is>
          <t>Ref</t>
        </is>
      </c>
      <c r="D3" s="3" t="inlineStr">
        <is>
          <t>LCSC番号</t>
        </is>
      </c>
      <c r="E3" s="3" t="inlineStr">
        <is>
          <t>メーカー型番</t>
        </is>
      </c>
      <c r="F3" s="3" t="inlineStr">
        <is>
          <t>仕様</t>
        </is>
      </c>
      <c r="G3" s="3" t="inlineStr">
        <is>
          <t>1枚あたり数量</t>
        </is>
      </c>
      <c r="H3" s="3" t="inlineStr">
        <is>
          <t>必要数</t>
        </is>
      </c>
      <c r="I3" s="3" t="inlineStr">
        <is>
          <t>最小購入数</t>
        </is>
      </c>
      <c r="J3" s="3" t="inlineStr">
        <is>
          <t>購入数</t>
        </is>
      </c>
      <c r="K3" s="3" t="inlineStr">
        <is>
          <t>単価(USD)</t>
        </is>
      </c>
      <c r="L3" s="3" t="inlineStr">
        <is>
          <t>小計(USD)</t>
        </is>
      </c>
      <c r="M3" s="3" t="inlineStr">
        <is>
          <t>購入先</t>
        </is>
      </c>
      <c r="N3" s="3" t="inlineStr">
        <is>
          <t>備考</t>
        </is>
      </c>
    </row>
    <row r="4">
      <c r="A4" s="4" t="n">
        <v>1</v>
      </c>
      <c r="B4" s="4" t="inlineStr">
        <is>
          <t>電解コンデンサ</t>
        </is>
      </c>
      <c r="C4" s="4" t="inlineStr">
        <is>
          <t>C3</t>
        </is>
      </c>
      <c r="D4" s="4" t="inlineStr">
        <is>
          <t>C160200</t>
        </is>
      </c>
      <c r="E4" s="4" t="inlineStr">
        <is>
          <t>ERZ1HM101E12OT</t>
        </is>
      </c>
      <c r="F4" s="4" t="inlineStr">
        <is>
          <t>100µF 50V φ6.3×12mm P2.5</t>
        </is>
      </c>
      <c r="G4" s="4" t="n">
        <v>1</v>
      </c>
      <c r="H4" s="4">
        <f>G4*$B$1</f>
        <v/>
      </c>
      <c r="I4" s="4" t="n">
        <v>10</v>
      </c>
      <c r="J4" s="4">
        <f>MAX(H4,I4)</f>
        <v/>
      </c>
      <c r="K4" s="5" t="n">
        <v>0.0467</v>
      </c>
      <c r="L4" s="6">
        <f>J4*K4</f>
        <v/>
      </c>
      <c r="M4" s="4" t="inlineStr">
        <is>
          <t>LCSC</t>
        </is>
      </c>
      <c r="N4" s="4" t="inlineStr">
        <is>
          <t>高さ12mm</t>
        </is>
      </c>
    </row>
    <row r="5">
      <c r="A5" s="4" t="n">
        <v>2</v>
      </c>
      <c r="B5" s="4" t="inlineStr">
        <is>
          <t>基板用コネクタ XA 2P</t>
        </is>
      </c>
      <c r="C5" s="4" t="inlineStr">
        <is>
          <t>J1</t>
        </is>
      </c>
      <c r="D5" s="4" t="inlineStr">
        <is>
          <t>C263753</t>
        </is>
      </c>
      <c r="E5" s="4" t="inlineStr">
        <is>
          <t>B02B-XASK-1(LF)(SN)</t>
        </is>
      </c>
      <c r="F5" s="4" t="inlineStr">
        <is>
          <t>JST XA 2.5mm 2極 縦型</t>
        </is>
      </c>
      <c r="G5" s="4" t="n">
        <v>1</v>
      </c>
      <c r="H5" s="4">
        <f>G5*$B$1</f>
        <v/>
      </c>
      <c r="I5" s="4" t="n">
        <v>10</v>
      </c>
      <c r="J5" s="4">
        <f>MAX(H5,I5)</f>
        <v/>
      </c>
      <c r="K5" s="5" t="n">
        <v>0.07580000000000001</v>
      </c>
      <c r="L5" s="6">
        <f>J5*K5</f>
        <v/>
      </c>
      <c r="M5" s="4" t="inlineStr">
        <is>
          <t>LCSC</t>
        </is>
      </c>
      <c r="N5" s="4" t="inlineStr">
        <is>
          <t>電源入力</t>
        </is>
      </c>
    </row>
    <row r="6">
      <c r="A6" s="4" t="n">
        <v>3</v>
      </c>
      <c r="B6" s="4" t="inlineStr">
        <is>
          <t>基板用コネクタ XA 3P</t>
        </is>
      </c>
      <c r="C6" s="4" t="inlineStr">
        <is>
          <t>J4</t>
        </is>
      </c>
      <c r="D6" s="4" t="inlineStr">
        <is>
          <t>C265055</t>
        </is>
      </c>
      <c r="E6" s="4" t="inlineStr">
        <is>
          <t>B03B-XASK-1(LF)(SN)</t>
        </is>
      </c>
      <c r="F6" s="4" t="inlineStr">
        <is>
          <t>JST XA 2.5mm 3極 縦型</t>
        </is>
      </c>
      <c r="G6" s="4" t="n">
        <v>1</v>
      </c>
      <c r="H6" s="4">
        <f>G6*$B$1</f>
        <v/>
      </c>
      <c r="I6" s="4" t="n">
        <v>10</v>
      </c>
      <c r="J6" s="4">
        <f>MAX(H6,I6)</f>
        <v/>
      </c>
      <c r="K6" s="5" t="n">
        <v>0.0835</v>
      </c>
      <c r="L6" s="6">
        <f>J6*K6</f>
        <v/>
      </c>
      <c r="M6" s="4" t="inlineStr">
        <is>
          <t>LCSC</t>
        </is>
      </c>
      <c r="N6" s="4" t="inlineStr">
        <is>
          <t>CAN</t>
        </is>
      </c>
    </row>
    <row r="7">
      <c r="A7" s="4" t="n">
        <v>4</v>
      </c>
      <c r="B7" s="4" t="inlineStr">
        <is>
          <t>ピンヘッダ 1×40（分割用）</t>
        </is>
      </c>
      <c r="C7" s="4" t="inlineStr">
        <is>
          <t>J2, JP1</t>
        </is>
      </c>
      <c r="D7" s="4" t="inlineStr">
        <is>
          <t>C2337</t>
        </is>
      </c>
      <c r="E7" s="4" t="inlineStr">
        <is>
          <t>2.54-1*40P</t>
        </is>
      </c>
      <c r="F7" s="4" t="inlineStr">
        <is>
          <t>2.54mm 1列40P</t>
        </is>
      </c>
      <c r="G7" s="4" t="n">
        <v>1</v>
      </c>
      <c r="H7" s="4">
        <f>ROUNDUP($B$1/6,0)</f>
        <v/>
      </c>
      <c r="I7" s="4" t="n">
        <v>5</v>
      </c>
      <c r="J7" s="4">
        <f>MAX(H7,I7)</f>
        <v/>
      </c>
      <c r="K7" s="5" t="n">
        <v>0.1597</v>
      </c>
      <c r="L7" s="6">
        <f>J7*K7</f>
        <v/>
      </c>
      <c r="M7" s="4" t="inlineStr">
        <is>
          <t>LCSC</t>
        </is>
      </c>
      <c r="N7" s="4" t="inlineStr">
        <is>
          <t>1本から4P+2Pを切り出し（6枚分取れる）</t>
        </is>
      </c>
    </row>
    <row r="8">
      <c r="A8" s="4" t="n">
        <v>5</v>
      </c>
      <c r="B8" s="4" t="inlineStr">
        <is>
          <t>ジャンパーピン</t>
        </is>
      </c>
      <c r="C8" s="4" t="inlineStr">
        <is>
          <t>JP1</t>
        </is>
      </c>
      <c r="D8" s="4" t="inlineStr">
        <is>
          <t>C2689176</t>
        </is>
      </c>
      <c r="E8" s="4" t="inlineStr">
        <is>
          <t>F254D-02-065-PT-B</t>
        </is>
      </c>
      <c r="F8" s="4" t="inlineStr">
        <is>
          <t>2.54mm ショートピン</t>
        </is>
      </c>
      <c r="G8" s="4" t="n">
        <v>1</v>
      </c>
      <c r="H8" s="4">
        <f>G8*$B$1</f>
        <v/>
      </c>
      <c r="I8" s="4" t="n">
        <v>50</v>
      </c>
      <c r="J8" s="4">
        <f>MAX(H8,I8)</f>
        <v/>
      </c>
      <c r="K8" s="5" t="n">
        <v>0.0173</v>
      </c>
      <c r="L8" s="6">
        <f>J8*K8</f>
        <v/>
      </c>
      <c r="M8" s="4" t="inlineStr">
        <is>
          <t>LCSC</t>
        </is>
      </c>
      <c r="N8" s="4" t="inlineStr">
        <is>
          <t>終端抵抗ON/OFF。手持ちがあれば不要</t>
        </is>
      </c>
    </row>
    <row r="9">
      <c r="A9" s="4" t="n">
        <v>6</v>
      </c>
      <c r="B9" s="4" t="inlineStr">
        <is>
          <t>ST-LINK用 1.27mm 2×7 ボックスヘッダ</t>
        </is>
      </c>
      <c r="C9" s="4" t="inlineStr">
        <is>
          <t>J3</t>
        </is>
      </c>
      <c r="D9" s="4" t="inlineStr">
        <is>
          <t>C20940107</t>
        </is>
      </c>
      <c r="E9" s="4" t="inlineStr">
        <is>
          <t>FTSH-107-01-L-D-K</t>
        </is>
      </c>
      <c r="F9" s="4" t="inlineStr">
        <is>
          <t>1.27mm 2×7P THT キー付き</t>
        </is>
      </c>
      <c r="G9" s="4" t="n">
        <v>1</v>
      </c>
      <c r="H9" s="4">
        <f>G9*$B$1</f>
        <v/>
      </c>
      <c r="I9" s="4" t="n">
        <v>1</v>
      </c>
      <c r="J9" s="4">
        <f>MAX(H9,I9)</f>
        <v/>
      </c>
      <c r="K9" s="5" t="n">
        <v>3.2646</v>
      </c>
      <c r="L9" s="6">
        <f>J9*K9</f>
        <v/>
      </c>
      <c r="M9" s="4" t="inlineStr">
        <is>
          <t>LCSC</t>
        </is>
      </c>
      <c r="N9" s="4" t="inlineStr">
        <is>
          <t>STLINK-V3(STDC14)用。安価な代替: C22438122(HX PZ1.27-2x7P ZZ, 枠なし $0.11)</t>
        </is>
      </c>
    </row>
    <row r="10">
      <c r="A10" s="4" t="n">
        <v>7</v>
      </c>
      <c r="B10" s="4" t="inlineStr">
        <is>
          <t>相手側ハウジング XA 2P</t>
        </is>
      </c>
      <c r="C10" s="4" t="inlineStr">
        <is>
          <t>(J1ケーブル)</t>
        </is>
      </c>
      <c r="D10" s="4" t="inlineStr">
        <is>
          <t>C157892</t>
        </is>
      </c>
      <c r="E10" s="4" t="inlineStr">
        <is>
          <t>XAP-02V-1</t>
        </is>
      </c>
      <c r="F10" s="4" t="inlineStr">
        <is>
          <t>JST XA 2極 ハウジング</t>
        </is>
      </c>
      <c r="G10" s="4" t="n">
        <v>1</v>
      </c>
      <c r="H10" s="4">
        <f>G10*$B$1</f>
        <v/>
      </c>
      <c r="I10" s="4" t="n">
        <v>20</v>
      </c>
      <c r="J10" s="4">
        <f>MAX(H10,I10)</f>
        <v/>
      </c>
      <c r="K10" s="5" t="n">
        <v>0.0358</v>
      </c>
      <c r="L10" s="6">
        <f>J10*K10</f>
        <v/>
      </c>
      <c r="M10" s="4" t="inlineStr">
        <is>
          <t>LCSC</t>
        </is>
      </c>
      <c r="N10" s="4" t="inlineStr">
        <is>
          <t>基板には載らない</t>
        </is>
      </c>
    </row>
    <row r="11">
      <c r="A11" s="4" t="n">
        <v>8</v>
      </c>
      <c r="B11" s="4" t="inlineStr">
        <is>
          <t>相手側ハウジング XA 3P</t>
        </is>
      </c>
      <c r="C11" s="4" t="inlineStr">
        <is>
          <t>(J4ケーブル)</t>
        </is>
      </c>
      <c r="D11" s="4" t="inlineStr">
        <is>
          <t>C157891</t>
        </is>
      </c>
      <c r="E11" s="4" t="inlineStr">
        <is>
          <t>XAP-03V-1</t>
        </is>
      </c>
      <c r="F11" s="4" t="inlineStr">
        <is>
          <t>JST XA 3極 ハウジング</t>
        </is>
      </c>
      <c r="G11" s="4" t="n">
        <v>1</v>
      </c>
      <c r="H11" s="4">
        <f>G11*$B$1</f>
        <v/>
      </c>
      <c r="I11" s="4" t="n">
        <v>10</v>
      </c>
      <c r="J11" s="4">
        <f>MAX(H11,I11)</f>
        <v/>
      </c>
      <c r="K11" s="5" t="n">
        <v>0.0474</v>
      </c>
      <c r="L11" s="6">
        <f>J11*K11</f>
        <v/>
      </c>
      <c r="M11" s="4" t="inlineStr">
        <is>
          <t>LCSC</t>
        </is>
      </c>
      <c r="N11" s="4" t="inlineStr">
        <is>
          <t>基板には載らない</t>
        </is>
      </c>
    </row>
    <row r="12">
      <c r="A12" s="4" t="n">
        <v>9</v>
      </c>
      <c r="B12" s="4" t="inlineStr">
        <is>
          <t>XA 圧着端子</t>
        </is>
      </c>
      <c r="C12" s="4" t="inlineStr">
        <is>
          <t>(ケーブル)</t>
        </is>
      </c>
      <c r="D12" s="4" t="inlineStr"/>
      <c r="E12" s="4" t="inlineStr">
        <is>
          <t>SXA-001T-P0.6</t>
        </is>
      </c>
      <c r="F12" s="4" t="inlineStr">
        <is>
          <t>JST XA用 コンタクト</t>
        </is>
      </c>
      <c r="G12" s="4" t="n">
        <v>5</v>
      </c>
      <c r="H12" s="4">
        <f>G12*$B$1</f>
        <v/>
      </c>
      <c r="I12" s="4" t="n">
        <v>20</v>
      </c>
      <c r="J12" s="4">
        <f>MAX(H12,I12)</f>
        <v/>
      </c>
      <c r="K12" s="5" t="n"/>
      <c r="L12" s="6" t="inlineStr"/>
      <c r="M12" s="4" t="inlineStr">
        <is>
          <t>国内（秋月・マルツ等）</t>
        </is>
      </c>
      <c r="N12" s="4" t="inlineStr">
        <is>
          <t>LCSCでは見つからず。圧着工具も必要</t>
        </is>
      </c>
    </row>
    <row r="13">
      <c r="A13" s="7" t="n">
        <v>10</v>
      </c>
      <c r="B13" s="7" t="inlineStr">
        <is>
          <t>絶縁CANトランシーバ（手はんだする場合）</t>
        </is>
      </c>
      <c r="C13" s="7" t="inlineStr">
        <is>
          <t>IC1</t>
        </is>
      </c>
      <c r="D13" s="7" t="inlineStr"/>
      <c r="E13" s="7" t="inlineStr">
        <is>
          <t>ISOW1044BDFMR</t>
        </is>
      </c>
      <c r="F13" s="7" t="inlineStr">
        <is>
          <t>SOIC-20W 1.27mm</t>
        </is>
      </c>
      <c r="G13" s="7" t="n">
        <v>1</v>
      </c>
      <c r="H13" s="7">
        <f>G13*$B$1</f>
        <v/>
      </c>
      <c r="I13" s="7" t="n">
        <v>1</v>
      </c>
      <c r="J13" s="7">
        <f>MAX(H13,I13)</f>
        <v/>
      </c>
      <c r="K13" s="8" t="n"/>
      <c r="L13" s="9" t="inlineStr"/>
      <c r="M13" s="7" t="inlineStr">
        <is>
          <t>Digi-Key / Mouser</t>
        </is>
      </c>
      <c r="N13" s="7" t="inlineStr">
        <is>
          <t>JLCで調達できない場合のみ。BOMでIC1をDNP扱いにする</t>
        </is>
      </c>
    </row>
    <row r="14">
      <c r="K14" s="1" t="inlineStr">
        <is>
          <t>LCSC分合計</t>
        </is>
      </c>
      <c r="L14" s="10">
        <f>SUMIF(M4:M13,"LCSC",L4:L13)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10" customWidth="1" min="1" max="1"/>
    <col width="50" customWidth="1" min="2" max="2"/>
    <col width="70" customWidth="1" min="3" max="3"/>
  </cols>
  <sheetData>
    <row r="1">
      <c r="A1" s="3" t="inlineStr">
        <is>
          <t>優先度</t>
        </is>
      </c>
      <c r="B1" s="3" t="inlineStr">
        <is>
          <t>内容</t>
        </is>
      </c>
      <c r="C1" s="3" t="inlineStr">
        <is>
          <t>対応案</t>
        </is>
      </c>
    </row>
    <row r="2">
      <c r="A2" s="7" t="inlineStr">
        <is>
          <t>★最優先</t>
        </is>
      </c>
      <c r="B2" s="7" t="inlineStr">
        <is>
          <t>IC1 ISOW1044BDFMR が LCSC/JLC とも在庫0</t>
        </is>
      </c>
      <c r="C2" s="7" t="inlineStr">
        <is>
          <t>①手はんだ（SOIC-20Wなので容易、Digi-Key等で購入）②JLCのGlobal Sourcing（取り寄せ）③部品を送るConsign、のどれにするか決める</t>
        </is>
      </c>
    </row>
    <row r="3">
      <c r="A3" s="7" t="inlineStr">
        <is>
          <t>★最優先</t>
        </is>
      </c>
      <c r="B3" s="7" t="inlineStr">
        <is>
          <t>IC1 の LCSC番号(C3234830)は B無し品 ISOW1044DFMR で、MPN欄(ISOW1044BDFMR)と不一致</t>
        </is>
      </c>
      <c r="C3" s="7" t="inlineStr">
        <is>
          <t>どちらを使うか決めて揃える。この表では MPN に合わせて C5216545 を記載</t>
        </is>
      </c>
    </row>
    <row r="4">
      <c r="A4" s="4" t="inlineStr">
        <is>
          <t>要確認</t>
        </is>
      </c>
      <c r="B4" s="4" t="inlineStr">
        <is>
          <t>LEDの色</t>
        </is>
      </c>
      <c r="C4" s="4" t="inlineStr">
        <is>
          <t>仮に 状態=緑 / 異常=赤 / モード=黄 / 電源=緑 としている</t>
        </is>
      </c>
    </row>
    <row r="5">
      <c r="A5" s="4" t="inlineStr">
        <is>
          <t>要確認</t>
        </is>
      </c>
      <c r="B5" s="4" t="inlineStr">
        <is>
          <t>J3 ボックスヘッダの選定</t>
        </is>
      </c>
      <c r="C5" s="4" t="inlineStr">
        <is>
          <t>FTSH-107-01-L-D-K は1個$3.26。キー無しの安価品(C22438122)でもよいか。いずれもフットプリントとの寸法照合が必要</t>
        </is>
      </c>
    </row>
    <row r="6">
      <c r="A6" s="4" t="inlineStr">
        <is>
          <t>要確認</t>
        </is>
      </c>
      <c r="B6" s="4" t="inlineStr">
        <is>
          <t>U1 STM32G474RET6 の在庫</t>
        </is>
      </c>
      <c r="C6" s="4" t="inlineStr">
        <is>
          <t>JLC在庫は約700個（2026-10-02時点）。発注直前に再確認</t>
        </is>
      </c>
    </row>
    <row r="7">
      <c r="A7" s="4" t="inlineStr">
        <is>
          <t>推奨</t>
        </is>
      </c>
      <c r="B7" s="4" t="inlineStr">
        <is>
          <t>回路図の値表記の統一（μ/u、0.1μ/100n）</t>
        </is>
      </c>
      <c r="C7" s="4" t="inlineStr">
        <is>
          <t>BOMで同じ部品が別行に分かれるのを防ぐ</t>
        </is>
      </c>
    </row>
    <row r="8">
      <c r="A8" s="4" t="inlineStr">
        <is>
          <t>参考</t>
        </is>
      </c>
      <c r="B8" s="4" t="inlineStr">
        <is>
          <t>価格</t>
        </is>
      </c>
      <c r="C8" s="4" t="inlineStr">
        <is>
          <t>JLC/LCSCの1個単価（2026-10-02取得）。実装分はJLCがロス分も含めて購入するので実費はやや増える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2026-10-02T04:48:43Z</dcterms:created>
  <dcterms:modified xsi:type="dcterms:W3CDTF">2026-10-02T04:48:43Z</dcterms:modified>
</cp:coreProperties>
</file>